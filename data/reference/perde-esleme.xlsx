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6f4cc62ef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arlar" sheetId="1" r:id="R3c7743b574de475c"/>
    <x:sheet xmlns:r="http://schemas.openxmlformats.org/officeDocument/2006/relationships" name="Perde Eşleme" sheetId="2" r:id="R0c817badfc904b50"/>
    <x:sheet xmlns:r="http://schemas.openxmlformats.org/officeDocument/2006/relationships" name="Kullanım Notları" sheetId="3" r:id="R9e68a113cb5a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"/>
    <x:numFmt numFmtId="202" formatCode="0"/>
    <x:numFmt numFmtId="203" formatCode="0.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top style="thin">
        <x:color rgb="FFA6A6A6"/>
      </x:top>
    </x:border>
    <x:border>
      <x:bottom style="thin">
        <x:color rgb="FFA6A6A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3" xfId="0" applyNumberFormat="1" applyFont="1" applyFill="1" applyBorder="1"/>
    <x:xf numFmtId="0" fontId="0" fillId="4" borderId="4" xfId="0" applyNumberFormat="1" applyFont="1" applyFill="1" applyBorder="1"/>
    <x:xf numFmtId="200" fontId="0" fillId="4" borderId="4" xfId="0" applyNumberFormat="1" applyFont="1" applyFill="1" applyBorder="1"/>
    <x:xf numFmtId="201" fontId="0" fillId="4" borderId="4" xfId="0" applyNumberFormat="1" applyFont="1" applyFill="1" applyBorder="1"/>
    <x:xf numFmtId="202" fontId="0" fillId="4" borderId="4" xfId="0" applyNumberFormat="1" applyFont="1" applyFill="1" applyBorder="1"/>
    <x:xf numFmtId="0" fontId="2" fillId="3" borderId="5" xfId="0" applyNumberFormat="1" applyFont="1" applyFill="1" applyBorder="1"/>
    <x:xf numFmtId="0" fontId="0" fillId="4" borderId="6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3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203" fontId="0" fillId="5" borderId="8" xfId="0" applyNumberFormat="1" applyFont="1" applyFill="1" applyBorder="1"/>
    <x:xf numFmtId="201" fontId="0" fillId="5" borderId="8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5223b157b4642" /><Relationship Type="http://schemas.openxmlformats.org/officeDocument/2006/relationships/theme" Target="/xl/theme/theme1.xml" Id="R8eac75dacc2c400b" /><Relationship Type="http://schemas.openxmlformats.org/officeDocument/2006/relationships/sharedStrings" Target="/xl/sharedStrings.xml" Id="R512e3fa87e074c78" /><Relationship Type="http://schemas.openxmlformats.org/officeDocument/2006/relationships/worksheet" Target="/xl/worksheets/sheet1.xml" Id="R3c7743b574de475c" /><Relationship Type="http://schemas.openxmlformats.org/officeDocument/2006/relationships/worksheet" Target="/xl/worksheets/sheet2.xml" Id="R0c817badfc904b50" /><Relationship Type="http://schemas.openxmlformats.org/officeDocument/2006/relationships/worksheet" Target="/xl/worksheets/sheet3.xml" Id="R9e68a113cb5a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</x:cols>
  <x:sheetData>
    <x:row r="1">
      <x:c r="A1" s="10" t="str">
        <x:v>KlariVision · Referans Ayarları</x:v>
      </x:c>
      <x:c r="B1" s="11"/>
    </x:row>
    <x:row r="2">
      <x:c r="A2" s="12"/>
      <x:c r="B2" s="13"/>
    </x:row>
    <x:row r="3">
      <x:c r="A3" s="14" t="str">
        <x:v>Dügâh referans koması</x:v>
      </x:c>
      <x:c r="B3" s="15" t="n">
        <x:v>40</x:v>
      </x:c>
    </x:row>
    <x:row r="4">
      <x:c r="A4" s="14" t="str">
        <x:v>Bir koma (sent)</x:v>
      </x:c>
      <x:c r="B4" s="16" t="n">
        <x:f>1200/53</x:f>
        <x:v>22.641509433962263</x:v>
      </x:c>
    </x:row>
    <x:row r="5">
      <x:c r="A5" s="14" t="str">
        <x:v>Dügâh duyulan frekansı (Hz)</x:v>
      </x:c>
      <x:c r="B5" s="17" t="n">
        <x:v>440</x:v>
      </x:c>
    </x:row>
    <x:row r="6">
      <x:c r="A6" s="14" t="str">
        <x:v>Sol klarnet dönüşümü (koma)</x:v>
      </x:c>
      <x:c r="B6" s="18" t="n">
        <x:v>-22</x:v>
      </x:c>
    </x:row>
    <x:row r="7">
      <x:c r="A7" s="19" t="str">
        <x:v>Not</x:v>
      </x:c>
      <x:c r="B7" s="20" t="str">
        <x:v>Sarı hücreleri gerekirse değiştir.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23" hidden="0" customWidth="1"/>
    <x:col min="8" max="8" width="20" hidden="0" customWidth="1"/>
    <x:col min="9" max="9" width="32" hidden="0" customWidth="1"/>
    <x:col min="10" max="10" width="32" hidden="0" customWidth="1"/>
  </x:cols>
  <x:sheetData>
    <x:row r="1">
      <x:c r="A1" s="3" t="str">
        <x:v>KlariVision · Türk Müziği Perde Eşleme Tablosu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25" t="str">
        <x:v>Koma</x:v>
      </x:c>
      <x:c r="B2" s="26" t="str">
        <x:v>Türk müziği perdesi</x:v>
      </x:c>
      <x:c r="C2" s="26" t="str">
        <x:v>Parantez içi nota</x:v>
      </x:c>
      <x:c r="D2" s="26" t="str">
        <x:v>Etiket / oktav notu</x:v>
      </x:c>
      <x:c r="E2" s="26" t="str">
        <x:v>Sent (Dügâh=0)</x:v>
      </x:c>
      <x:c r="F2" s="26" t="str">
        <x:v>Duyulan Hz</x:v>
      </x:c>
      <x:c r="G2" s="26" t="str">
        <x:v>Sol klarnet yazılı Hz</x:v>
      </x:c>
      <x:c r="H2" s="26" t="str">
        <x:v>Onay</x:v>
      </x:c>
      <x:c r="I2" s="26" t="str">
        <x:v>Düzeltme notu</x:v>
      </x:c>
      <x:c r="J2" s="27" t="str">
        <x:v>Kaynak / gerekçe</x:v>
      </x:c>
    </x:row>
    <x:row r="3">
      <x:c r="A3" s="28" t="n">
        <x:v>0</x:v>
      </x:c>
      <x:c r="B3" s="6" t="str">
        <x:v>Kaba Çârgâh</x:v>
      </x:c>
      <x:c r="C3" s="6" t="str">
        <x:v>Do</x:v>
      </x:c>
      <x:c r="D3" s="6" t="str"/>
      <x:c r="E3" s="23" t="n">
        <x:f>(A3-'Ayarlar'!$B$3)*'Ayarlar'!$B$4</x:f>
        <x:v>-905.6603773584905</x:v>
      </x:c>
      <x:c r="F3" s="24" t="n">
        <x:f>'Ayarlar'!$B$5*POWER(2,E3/1200)</x:f>
        <x:v>260.7715611196058</x:v>
      </x:c>
      <x:c r="G3" s="24" t="n">
        <x:f>F3*POWER(2,'Ayarlar'!$B$6*'Ayarlar'!$B$4/1200)</x:f>
        <x:v>195.57096544141518</x:v>
      </x:c>
      <x:c r="H3" s="6" t="str">
        <x:v>Kontrol bekliyor</x:v>
      </x:c>
      <x:c r="I3" s="6"/>
      <x:c r="J3" s="15"/>
    </x:row>
    <x:row r="4">
      <x:c r="A4" s="28" t="n">
        <x:v>4</x:v>
      </x:c>
      <x:c r="B4" s="6" t="str">
        <x:v>Kaba Nîm Hicaz</x:v>
      </x:c>
      <x:c r="C4" s="6" t="str">
        <x:v>Do</x:v>
      </x:c>
      <x:c r="D4" s="6" t="str"/>
      <x:c r="E4" s="23" t="n">
        <x:f>(A4-'Ayarlar'!$B$3)*'Ayarlar'!$B$4</x:f>
        <x:v>-815.0943396226414</x:v>
      </x:c>
      <x:c r="F4" s="24" t="n">
        <x:f>'Ayarlar'!$B$5*POWER(2,E4/1200)</x:f>
        <x:v>274.7764269443996</x:v>
      </x:c>
      <x:c r="G4" s="24" t="n">
        <x:f>F4*POWER(2,'Ayarlar'!$B$6*'Ayarlar'!$B$4/1200)</x:f>
        <x:v>206.07420098777968</x:v>
      </x:c>
      <x:c r="H4" s="6" t="str">
        <x:v>Kontrol bekliyor</x:v>
      </x:c>
      <x:c r="I4" s="6"/>
      <x:c r="J4" s="15"/>
    </x:row>
    <x:row r="5">
      <x:c r="A5" s="28" t="n">
        <x:v>5</x:v>
      </x:c>
      <x:c r="B5" s="6" t="str">
        <x:v>Kaba Hicaz</x:v>
      </x:c>
      <x:c r="C5" s="6" t="str">
        <x:v>Do</x:v>
      </x:c>
      <x:c r="D5" s="6" t="str"/>
      <x:c r="E5" s="23" t="n">
        <x:f>(A5-'Ayarlar'!$B$3)*'Ayarlar'!$B$4</x:f>
        <x:v>-792.4528301886792</x:v>
      </x:c>
      <x:c r="F5" s="24" t="n">
        <x:f>'Ayarlar'!$B$5*POWER(2,E5/1200)</x:f>
        <x:v>278.3936231285707</x:v>
      </x:c>
      <x:c r="G5" s="24" t="n">
        <x:f>F5*POWER(2,'Ayarlar'!$B$6*'Ayarlar'!$B$4/1200)</x:f>
        <x:v>208.78699124332786</x:v>
      </x:c>
      <x:c r="H5" s="6" t="str">
        <x:v>Kontrol bekliyor</x:v>
      </x:c>
      <x:c r="I5" s="6"/>
      <x:c r="J5" s="15"/>
    </x:row>
    <x:row r="6">
      <x:c r="A6" s="28" t="n">
        <x:v>8</x:v>
      </x:c>
      <x:c r="B6" s="6" t="str">
        <x:v>Kaba Dik Hicaz</x:v>
      </x:c>
      <x:c r="C6" s="6" t="str">
        <x:v>Do</x:v>
      </x:c>
      <x:c r="D6" s="6" t="str"/>
      <x:c r="E6" s="23" t="n">
        <x:f>(A6-'Ayarlar'!$B$3)*'Ayarlar'!$B$4</x:f>
        <x:v>-724.5283018867924</x:v>
      </x:c>
      <x:c r="F6" s="24" t="n">
        <x:f>'Ayarlar'!$B$5*POWER(2,E6/1200)</x:f>
        <x:v>289.5334310235659</x:v>
      </x:c>
      <x:c r="G6" s="24" t="n">
        <x:f>F6*POWER(2,'Ayarlar'!$B$6*'Ayarlar'!$B$4/1200)</x:f>
        <x:v>217.14151800039576</x:v>
      </x:c>
      <x:c r="H6" s="6" t="str">
        <x:v>Kontrol bekliyor</x:v>
      </x:c>
      <x:c r="I6" s="6"/>
      <x:c r="J6" s="15"/>
    </x:row>
    <x:row r="7">
      <x:c r="A7" s="28" t="n">
        <x:v>9</x:v>
      </x:c>
      <x:c r="B7" s="6" t="str">
        <x:v>Yegâh</x:v>
      </x:c>
      <x:c r="C7" s="6" t="str">
        <x:v>Re</x:v>
      </x:c>
      <x:c r="D7" s="6" t="str"/>
      <x:c r="E7" s="23" t="n">
        <x:f>(A7-'Ayarlar'!$B$3)*'Ayarlar'!$B$4</x:f>
        <x:v>-701.8867924528302</x:v>
      </x:c>
      <x:c r="F7" s="24" t="n">
        <x:f>'Ayarlar'!$B$5*POWER(2,E7/1200)</x:f>
        <x:v>293.3448905200544</x:v>
      </x:c>
      <x:c r="G7" s="24" t="n">
        <x:f>F7*POWER(2,'Ayarlar'!$B$6*'Ayarlar'!$B$4/1200)</x:f>
        <x:v>220.00000000000003</x:v>
      </x:c>
      <x:c r="H7" s="6" t="str">
        <x:v>Kontrol bekliyor</x:v>
      </x:c>
      <x:c r="I7" s="6"/>
      <x:c r="J7" s="15"/>
    </x:row>
    <x:row r="8">
      <x:c r="A8" s="28" t="n">
        <x:v>13</x:v>
      </x:c>
      <x:c r="B8" s="6" t="str">
        <x:v>Kaba Nîm Hisar</x:v>
      </x:c>
      <x:c r="C8" s="6" t="str">
        <x:v>Re</x:v>
      </x:c>
      <x:c r="D8" s="6" t="str"/>
      <x:c r="E8" s="23" t="n">
        <x:f>(A8-'Ayarlar'!$B$3)*'Ayarlar'!$B$4</x:f>
        <x:v>-611.3207547169811</x:v>
      </x:c>
      <x:c r="F8" s="24" t="n">
        <x:f>'Ayarlar'!$B$5*POWER(2,E8/1200)</x:f>
        <x:v>309.09912313071044</x:v>
      </x:c>
      <x:c r="G8" s="24" t="n">
        <x:f>F8*POWER(2,'Ayarlar'!$B$6*'Ayarlar'!$B$4/1200)</x:f>
        <x:v>231.81520894466505</x:v>
      </x:c>
      <x:c r="H8" s="6" t="str">
        <x:v>Kontrol bekliyor</x:v>
      </x:c>
      <x:c r="I8" s="6"/>
      <x:c r="J8" s="15"/>
    </x:row>
    <x:row r="9">
      <x:c r="A9" s="28" t="n">
        <x:v>14</x:v>
      </x:c>
      <x:c r="B9" s="6" t="str">
        <x:v>Kaba Hisar</x:v>
      </x:c>
      <x:c r="C9" s="6" t="str">
        <x:v>Re</x:v>
      </x:c>
      <x:c r="D9" s="6" t="str"/>
      <x:c r="E9" s="23" t="n">
        <x:f>(A9-'Ayarlar'!$B$3)*'Ayarlar'!$B$4</x:f>
        <x:v>-588.6792452830189</x:v>
      </x:c>
      <x:c r="F9" s="24" t="n">
        <x:f>'Ayarlar'!$B$5*POWER(2,E9/1200)</x:f>
        <x:v>313.16814819647885</x:v>
      </x:c>
      <x:c r="G9" s="24" t="n">
        <x:f>F9*POWER(2,'Ayarlar'!$B$6*'Ayarlar'!$B$4/1200)</x:f>
        <x:v>234.86685751056314</x:v>
      </x:c>
      <x:c r="H9" s="6" t="str">
        <x:v>Kontrol bekliyor</x:v>
      </x:c>
      <x:c r="I9" s="6"/>
      <x:c r="J9" s="15"/>
    </x:row>
    <x:row r="10">
      <x:c r="A10" s="28" t="n">
        <x:v>17</x:v>
      </x:c>
      <x:c r="B10" s="6" t="str">
        <x:v>Kaba Dik Hisar</x:v>
      </x:c>
      <x:c r="C10" s="6" t="str">
        <x:v>Re</x:v>
      </x:c>
      <x:c r="D10" s="6" t="str"/>
      <x:c r="E10" s="23" t="n">
        <x:f>(A10-'Ayarlar'!$B$3)*'Ayarlar'!$B$4</x:f>
        <x:v>-520.754716981132</x:v>
      </x:c>
      <x:c r="F10" s="24" t="n">
        <x:f>'Ayarlar'!$B$5*POWER(2,E10/1200)</x:f>
        <x:v>325.6994446052655</x:v>
      </x:c>
      <x:c r="G10" s="24" t="n">
        <x:f>F10*POWER(2,'Ayarlar'!$B$6*'Ayarlar'!$B$4/1200)</x:f>
        <x:v>244.2649595366306</x:v>
      </x:c>
      <x:c r="H10" s="6" t="str">
        <x:v>Kontrol bekliyor</x:v>
      </x:c>
      <x:c r="I10" s="6"/>
      <x:c r="J10" s="15"/>
    </x:row>
    <x:row r="11">
      <x:c r="A11" s="28" t="n">
        <x:v>18</x:v>
      </x:c>
      <x:c r="B11" s="6" t="str">
        <x:v>Hüseynî Aşiran</x:v>
      </x:c>
      <x:c r="C11" s="6" t="str">
        <x:v>Mi</x:v>
      </x:c>
      <x:c r="D11" s="6" t="str"/>
      <x:c r="E11" s="23" t="n">
        <x:f>(A11-'Ayarlar'!$B$3)*'Ayarlar'!$B$4</x:f>
        <x:v>-498.1132075471698</x:v>
      </x:c>
      <x:c r="F11" s="24" t="n">
        <x:f>'Ayarlar'!$B$5*POWER(2,E11/1200)</x:f>
        <x:v>329.9869986771845</x:v>
      </x:c>
      <x:c r="G11" s="24" t="n">
        <x:f>F11*POWER(2,'Ayarlar'!$B$6*'Ayarlar'!$B$4/1200)</x:f>
        <x:v>247.4804983999458</x:v>
      </x:c>
      <x:c r="H11" s="6" t="str">
        <x:v>Kontrol bekliyor</x:v>
      </x:c>
      <x:c r="I11" s="6"/>
      <x:c r="J11" s="15"/>
    </x:row>
    <x:row r="12">
      <x:c r="A12" s="28" t="n">
        <x:v>22</x:v>
      </x:c>
      <x:c r="B12" s="6" t="str">
        <x:v>Acem Aşiran</x:v>
      </x:c>
      <x:c r="C12" s="6" t="str">
        <x:v>Fa</x:v>
      </x:c>
      <x:c r="D12" s="6" t="str"/>
      <x:c r="E12" s="23" t="n">
        <x:f>(A12-'Ayarlar'!$B$3)*'Ayarlar'!$B$4</x:f>
        <x:v>-407.5471698113207</x:v>
      </x:c>
      <x:c r="F12" s="24" t="n">
        <x:f>'Ayarlar'!$B$5*POWER(2,E12/1200)</x:f>
        <x:v>347.709113851702</x:v>
      </x:c>
      <x:c r="G12" s="24" t="n">
        <x:f>F12*POWER(2,'Ayarlar'!$B$6*'Ayarlar'!$B$4/1200)</x:f>
        <x:v>260.77156111960585</x:v>
      </x:c>
      <x:c r="H12" s="6" t="str">
        <x:v>Kontrol bekliyor</x:v>
      </x:c>
      <x:c r="I12" s="6"/>
      <x:c r="J12" s="15"/>
    </x:row>
    <x:row r="13">
      <x:c r="A13" s="28" t="n">
        <x:v>23</x:v>
      </x:c>
      <x:c r="B13" s="6" t="str">
        <x:v>Dik Acem Aşiran</x:v>
      </x:c>
      <x:c r="C13" s="6" t="str">
        <x:v>Fa</x:v>
      </x:c>
      <x:c r="D13" s="6" t="str"/>
      <x:c r="E13" s="23" t="n">
        <x:f>(A13-'Ayarlar'!$B$3)*'Ayarlar'!$B$4</x:f>
        <x:v>-384.90566037735846</x:v>
      </x:c>
      <x:c r="F13" s="24" t="n">
        <x:f>'Ayarlar'!$B$5*POWER(2,E13/1200)</x:f>
        <x:v>352.28640635751213</x:v>
      </x:c>
      <x:c r="G13" s="24" t="n">
        <x:f>F13*POWER(2,'Ayarlar'!$B$6*'Ayarlar'!$B$4/1200)</x:f>
        <x:v>264.2043952470146</x:v>
      </x:c>
      <x:c r="H13" s="6" t="str">
        <x:v>Kontrol bekliyor</x:v>
      </x:c>
      <x:c r="I13" s="6"/>
      <x:c r="J13" s="15"/>
    </x:row>
    <x:row r="14">
      <x:c r="A14" s="28" t="n">
        <x:v>26</x:v>
      </x:c>
      <x:c r="B14" s="6" t="str">
        <x:v>Irak</x:v>
      </x:c>
      <x:c r="C14" s="6" t="str">
        <x:v>Fa</x:v>
      </x:c>
      <x:c r="D14" s="6" t="str"/>
      <x:c r="E14" s="23" t="n">
        <x:f>(A14-'Ayarlar'!$B$3)*'Ayarlar'!$B$4</x:f>
        <x:v>-316.9811320754717</x:v>
      </x:c>
      <x:c r="F14" s="24" t="n">
        <x:f>'Ayarlar'!$B$5*POWER(2,E14/1200)</x:f>
        <x:v>366.3830039977119</x:v>
      </x:c>
      <x:c r="G14" s="24" t="n">
        <x:f>F14*POWER(2,'Ayarlar'!$B$6*'Ayarlar'!$B$4/1200)</x:f>
        <x:v>274.77642694439965</x:v>
      </x:c>
      <x:c r="H14" s="6" t="str">
        <x:v>Kontrol bekliyor</x:v>
      </x:c>
      <x:c r="I14" s="6"/>
      <x:c r="J14" s="15"/>
    </x:row>
    <x:row r="15">
      <x:c r="A15" s="28" t="n">
        <x:v>27</x:v>
      </x:c>
      <x:c r="B15" s="6" t="str">
        <x:v>Geveşt</x:v>
      </x:c>
      <x:c r="C15" s="6" t="str">
        <x:v>Fa</x:v>
      </x:c>
      <x:c r="D15" s="6" t="str"/>
      <x:c r="E15" s="23" t="n">
        <x:f>(A15-'Ayarlar'!$B$3)*'Ayarlar'!$B$4</x:f>
        <x:v>-294.33962264150944</x:v>
      </x:c>
      <x:c r="F15" s="24" t="n">
        <x:f>'Ayarlar'!$B$5*POWER(2,E15/1200)</x:f>
        <x:v>371.2061222642357</x:v>
      </x:c>
      <x:c r="G15" s="24" t="n">
        <x:f>F15*POWER(2,'Ayarlar'!$B$6*'Ayarlar'!$B$4/1200)</x:f>
        <x:v>278.39362312857077</x:v>
      </x:c>
      <x:c r="H15" s="6" t="str">
        <x:v>Kontrol bekliyor</x:v>
      </x:c>
      <x:c r="I15" s="6"/>
      <x:c r="J15" s="15"/>
    </x:row>
    <x:row r="16">
      <x:c r="A16" s="28" t="n">
        <x:v>30</x:v>
      </x:c>
      <x:c r="B16" s="6" t="str">
        <x:v>Dik Geveşt</x:v>
      </x:c>
      <x:c r="C16" s="6" t="str">
        <x:v>Fa</x:v>
      </x:c>
      <x:c r="D16" s="6" t="str"/>
      <x:c r="E16" s="23" t="n">
        <x:f>(A16-'Ayarlar'!$B$3)*'Ayarlar'!$B$4</x:f>
        <x:v>-226.4150943396226</x:v>
      </x:c>
      <x:c r="F16" s="24" t="n">
        <x:f>'Ayarlar'!$B$5*POWER(2,E16/1200)</x:f>
        <x:v>386.0597846613802</x:v>
      </x:c>
      <x:c r="G16" s="24" t="n">
        <x:f>F16*POWER(2,'Ayarlar'!$B$6*'Ayarlar'!$B$4/1200)</x:f>
        <x:v>289.53343102356587</x:v>
      </x:c>
      <x:c r="H16" s="6" t="str">
        <x:v>Kontrol bekliyor</x:v>
      </x:c>
      <x:c r="I16" s="6"/>
      <x:c r="J16" s="15"/>
    </x:row>
    <x:row r="17">
      <x:c r="A17" s="28" t="n">
        <x:v>31</x:v>
      </x:c>
      <x:c r="B17" s="6" t="str">
        <x:v>Rast</x:v>
      </x:c>
      <x:c r="C17" s="6" t="str">
        <x:v>Sol</x:v>
      </x:c>
      <x:c r="D17" s="6" t="str"/>
      <x:c r="E17" s="23" t="n">
        <x:f>(A17-'Ayarlar'!$B$3)*'Ayarlar'!$B$4</x:f>
        <x:v>-203.77358490566036</x:v>
      </x:c>
      <x:c r="F17" s="24" t="n">
        <x:f>'Ayarlar'!$B$5*POWER(2,E17/1200)</x:f>
        <x:v>391.1419308828304</x:v>
      </x:c>
      <x:c r="G17" s="24" t="n">
        <x:f>F17*POWER(2,'Ayarlar'!$B$6*'Ayarlar'!$B$4/1200)</x:f>
        <x:v>293.34489052005443</x:v>
      </x:c>
      <x:c r="H17" s="6" t="str">
        <x:v>Kontrol bekliyor</x:v>
      </x:c>
      <x:c r="I17" s="6"/>
      <x:c r="J17" s="15"/>
    </x:row>
    <x:row r="18">
      <x:c r="A18" s="28" t="n">
        <x:v>35</x:v>
      </x:c>
      <x:c r="B18" s="6" t="str">
        <x:v>Nîm Zirgüle</x:v>
      </x:c>
      <x:c r="C18" s="6" t="str">
        <x:v>Sol</x:v>
      </x:c>
      <x:c r="D18" s="6" t="str"/>
      <x:c r="E18" s="23" t="n">
        <x:f>(A18-'Ayarlar'!$B$3)*'Ayarlar'!$B$4</x:f>
        <x:v>-113.2075471698113</x:v>
      </x:c>
      <x:c r="F18" s="24" t="n">
        <x:f>'Ayarlar'!$B$5*POWER(2,E18/1200)</x:f>
        <x:v>412.14840197555935</x:v>
      </x:c>
      <x:c r="G18" s="24" t="n">
        <x:f>F18*POWER(2,'Ayarlar'!$B$6*'Ayarlar'!$B$4/1200)</x:f>
        <x:v>309.09912313071044</x:v>
      </x:c>
      <x:c r="H18" s="6" t="str">
        <x:v>Kontrol bekliyor</x:v>
      </x:c>
      <x:c r="I18" s="6"/>
      <x:c r="J18" s="15"/>
    </x:row>
    <x:row r="19">
      <x:c r="A19" s="28" t="n">
        <x:v>36</x:v>
      </x:c>
      <x:c r="B19" s="6" t="str">
        <x:v>Zirgüle</x:v>
      </x:c>
      <x:c r="C19" s="6" t="str">
        <x:v>Sol</x:v>
      </x:c>
      <x:c r="D19" s="6" t="str"/>
      <x:c r="E19" s="23" t="n">
        <x:f>(A19-'Ayarlar'!$B$3)*'Ayarlar'!$B$4</x:f>
        <x:v>-90.56603773584905</x:v>
      </x:c>
      <x:c r="F19" s="24" t="n">
        <x:f>'Ayarlar'!$B$5*POWER(2,E19/1200)</x:f>
        <x:v>417.5739824866557</x:v>
      </x:c>
      <x:c r="G19" s="24" t="n">
        <x:f>F19*POWER(2,'Ayarlar'!$B$6*'Ayarlar'!$B$4/1200)</x:f>
        <x:v>313.1681481964789</x:v>
      </x:c>
      <x:c r="H19" s="6" t="str">
        <x:v>Kontrol bekliyor</x:v>
      </x:c>
      <x:c r="I19" s="6"/>
      <x:c r="J19" s="15"/>
    </x:row>
    <x:row r="20">
      <x:c r="A20" s="28" t="n">
        <x:v>39</x:v>
      </x:c>
      <x:c r="B20" s="6" t="str">
        <x:v>Dik Zirgüle</x:v>
      </x:c>
      <x:c r="C20" s="6" t="str">
        <x:v>Sol</x:v>
      </x:c>
      <x:c r="D20" s="6" t="str"/>
      <x:c r="E20" s="23" t="n">
        <x:f>(A20-'Ayarlar'!$B$3)*'Ayarlar'!$B$4</x:f>
        <x:v>-22.641509433962263</x:v>
      </x:c>
      <x:c r="F20" s="24" t="n">
        <x:f>'Ayarlar'!$B$5*POWER(2,E20/1200)</x:f>
        <x:v>434.28303600079136</x:v>
      </x:c>
      <x:c r="G20" s="24" t="n">
        <x:f>F20*POWER(2,'Ayarlar'!$B$6*'Ayarlar'!$B$4/1200)</x:f>
        <x:v>325.69944460526546</x:v>
      </x:c>
      <x:c r="H20" s="6" t="str">
        <x:v>Kontrol bekliyor</x:v>
      </x:c>
      <x:c r="I20" s="6"/>
      <x:c r="J20" s="15"/>
    </x:row>
    <x:row r="21">
      <x:c r="A21" s="28" t="n">
        <x:v>40</x:v>
      </x:c>
      <x:c r="B21" s="6" t="str">
        <x:v>Dügâh</x:v>
      </x:c>
      <x:c r="C21" s="6" t="str">
        <x:v>La</x:v>
      </x:c>
      <x:c r="D21" s="6" t="str"/>
      <x:c r="E21" s="23" t="n">
        <x:f>(A21-'Ayarlar'!$B$3)*'Ayarlar'!$B$4</x:f>
        <x:v>0</x:v>
      </x:c>
      <x:c r="F21" s="24" t="n">
        <x:f>'Ayarlar'!$B$5*POWER(2,E21/1200)</x:f>
        <x:v>440</x:v>
      </x:c>
      <x:c r="G21" s="24" t="n">
        <x:f>F21*POWER(2,'Ayarlar'!$B$6*'Ayarlar'!$B$4/1200)</x:f>
        <x:v>329.9869986771845</x:v>
      </x:c>
      <x:c r="H21" s="6" t="str">
        <x:v>Kontrol bekliyor</x:v>
      </x:c>
      <x:c r="I21" s="6"/>
      <x:c r="J21" s="15"/>
    </x:row>
    <x:row r="22">
      <x:c r="A22" s="28" t="n">
        <x:v>44</x:v>
      </x:c>
      <x:c r="B22" s="6" t="str">
        <x:v>Kürdî</x:v>
      </x:c>
      <x:c r="C22" s="6" t="str">
        <x:v>La</x:v>
      </x:c>
      <x:c r="D22" s="6" t="str"/>
      <x:c r="E22" s="23" t="n">
        <x:f>(A22-'Ayarlar'!$B$3)*'Ayarlar'!$B$4</x:f>
        <x:v>90.56603773584905</x:v>
      </x:c>
      <x:c r="F22" s="24" t="n">
        <x:f>'Ayarlar'!$B$5*POWER(2,E22/1200)</x:f>
        <x:v>463.6304178893301</x:v>
      </x:c>
      <x:c r="G22" s="24" t="n">
        <x:f>F22*POWER(2,'Ayarlar'!$B$6*'Ayarlar'!$B$4/1200)</x:f>
        <x:v>347.70911385170194</x:v>
      </x:c>
      <x:c r="H22" s="6" t="str">
        <x:v>Kontrol bekliyor</x:v>
      </x:c>
      <x:c r="I22" s="6"/>
      <x:c r="J22" s="15"/>
    </x:row>
    <x:row r="23">
      <x:c r="A23" s="28" t="n">
        <x:v>45</x:v>
      </x:c>
      <x:c r="B23" s="6" t="str">
        <x:v>Dik Kürdî</x:v>
      </x:c>
      <x:c r="C23" s="6" t="str">
        <x:v>La</x:v>
      </x:c>
      <x:c r="D23" s="6" t="str"/>
      <x:c r="E23" s="23" t="n">
        <x:f>(A23-'Ayarlar'!$B$3)*'Ayarlar'!$B$4</x:f>
        <x:v>113.2075471698113</x:v>
      </x:c>
      <x:c r="F23" s="24" t="n">
        <x:f>'Ayarlar'!$B$5*POWER(2,E23/1200)</x:f>
        <x:v>469.7337150211262</x:v>
      </x:c>
      <x:c r="G23" s="24" t="n">
        <x:f>F23*POWER(2,'Ayarlar'!$B$6*'Ayarlar'!$B$4/1200)</x:f>
        <x:v>352.2864063575121</x:v>
      </x:c>
      <x:c r="H23" s="6" t="str">
        <x:v>Kontrol bekliyor</x:v>
      </x:c>
      <x:c r="I23" s="6"/>
      <x:c r="J23" s="15"/>
    </x:row>
    <x:row r="24">
      <x:c r="A24" s="28" t="n">
        <x:v>48</x:v>
      </x:c>
      <x:c r="B24" s="6" t="str">
        <x:v>Segâh</x:v>
      </x:c>
      <x:c r="C24" s="6" t="str">
        <x:v>Si</x:v>
      </x:c>
      <x:c r="D24" s="6" t="str"/>
      <x:c r="E24" s="23" t="n">
        <x:f>(A24-'Ayarlar'!$B$3)*'Ayarlar'!$B$4</x:f>
        <x:v>181.1320754716981</x:v>
      </x:c>
      <x:c r="F24" s="24" t="n">
        <x:f>'Ayarlar'!$B$5*POWER(2,E24/1200)</x:f>
        <x:v>488.5299190732611</x:v>
      </x:c>
      <x:c r="G24" s="24" t="n">
        <x:f>F24*POWER(2,'Ayarlar'!$B$6*'Ayarlar'!$B$4/1200)</x:f>
        <x:v>366.3830039977119</x:v>
      </x:c>
      <x:c r="H24" s="6" t="str">
        <x:v>Kontrol bekliyor</x:v>
      </x:c>
      <x:c r="I24" s="6"/>
      <x:c r="J24" s="15"/>
    </x:row>
    <x:row r="25">
      <x:c r="A25" s="28" t="n">
        <x:v>49</x:v>
      </x:c>
      <x:c r="B25" s="6" t="str">
        <x:v>Bûselik</x:v>
      </x:c>
      <x:c r="C25" s="6" t="str">
        <x:v>Si</x:v>
      </x:c>
      <x:c r="D25" s="6" t="str"/>
      <x:c r="E25" s="23" t="n">
        <x:f>(A25-'Ayarlar'!$B$3)*'Ayarlar'!$B$4</x:f>
        <x:v>203.77358490566036</x:v>
      </x:c>
      <x:c r="F25" s="24" t="n">
        <x:f>'Ayarlar'!$B$5*POWER(2,E25/1200)</x:f>
        <x:v>494.9609967998916</x:v>
      </x:c>
      <x:c r="G25" s="24" t="n">
        <x:f>F25*POWER(2,'Ayarlar'!$B$6*'Ayarlar'!$B$4/1200)</x:f>
        <x:v>371.2061222642358</x:v>
      </x:c>
      <x:c r="H25" s="6" t="str">
        <x:v>Kontrol bekliyor</x:v>
      </x:c>
      <x:c r="I25" s="6"/>
      <x:c r="J25" s="15"/>
    </x:row>
    <x:row r="26">
      <x:c r="A26" s="28" t="n">
        <x:v>52</x:v>
      </x:c>
      <x:c r="B26" s="6" t="str">
        <x:v>Dik Bûselik</x:v>
      </x:c>
      <x:c r="C26" s="6" t="str">
        <x:v>Si</x:v>
      </x:c>
      <x:c r="D26" s="6" t="str"/>
      <x:c r="E26" s="23" t="n">
        <x:f>(A26-'Ayarlar'!$B$3)*'Ayarlar'!$B$4</x:f>
        <x:v>271.6981132075472</x:v>
      </x:c>
      <x:c r="F26" s="24" t="n">
        <x:f>'Ayarlar'!$B$5*POWER(2,E26/1200)</x:f>
        <x:v>514.7666602985834</x:v>
      </x:c>
      <x:c r="G26" s="24" t="n">
        <x:f>F26*POWER(2,'Ayarlar'!$B$6*'Ayarlar'!$B$4/1200)</x:f>
        <x:v>386.0597846613802</x:v>
      </x:c>
      <x:c r="H26" s="6" t="str">
        <x:v>Kontrol bekliyor</x:v>
      </x:c>
      <x:c r="I26" s="6"/>
      <x:c r="J26" s="15"/>
    </x:row>
    <x:row r="27">
      <x:c r="A27" s="28" t="n">
        <x:v>53</x:v>
      </x:c>
      <x:c r="B27" s="6" t="str">
        <x:v>Çârgâh</x:v>
      </x:c>
      <x:c r="C27" s="6" t="str">
        <x:v>Do</x:v>
      </x:c>
      <x:c r="D27" s="6" t="str"/>
      <x:c r="E27" s="23" t="n">
        <x:f>(A27-'Ayarlar'!$B$3)*'Ayarlar'!$B$4</x:f>
        <x:v>294.33962264150944</x:v>
      </x:c>
      <x:c r="F27" s="24" t="n">
        <x:f>'Ayarlar'!$B$5*POWER(2,E27/1200)</x:f>
        <x:v>521.5431222392116</x:v>
      </x:c>
      <x:c r="G27" s="24" t="n">
        <x:f>F27*POWER(2,'Ayarlar'!$B$6*'Ayarlar'!$B$4/1200)</x:f>
        <x:v>391.14193088283037</x:v>
      </x:c>
      <x:c r="H27" s="6" t="str">
        <x:v>Kontrol bekliyor</x:v>
      </x:c>
      <x:c r="I27" s="6"/>
      <x:c r="J27" s="15"/>
    </x:row>
    <x:row r="28">
      <x:c r="A28" s="28" t="n">
        <x:v>57</x:v>
      </x:c>
      <x:c r="B28" s="6" t="str">
        <x:v>Nîm Hicaz</x:v>
      </x:c>
      <x:c r="C28" s="6" t="str">
        <x:v>Do</x:v>
      </x:c>
      <x:c r="D28" s="6" t="str"/>
      <x:c r="E28" s="23" t="n">
        <x:f>(A28-'Ayarlar'!$B$3)*'Ayarlar'!$B$4</x:f>
        <x:v>384.90566037735846</x:v>
      </x:c>
      <x:c r="F28" s="24" t="n">
        <x:f>'Ayarlar'!$B$5*POWER(2,E28/1200)</x:f>
        <x:v>549.5528538887992</x:v>
      </x:c>
      <x:c r="G28" s="24" t="n">
        <x:f>F28*POWER(2,'Ayarlar'!$B$6*'Ayarlar'!$B$4/1200)</x:f>
        <x:v>412.14840197555935</x:v>
      </x:c>
      <x:c r="H28" s="6" t="str">
        <x:v>Kontrol bekliyor</x:v>
      </x:c>
      <x:c r="I28" s="6"/>
      <x:c r="J28" s="15"/>
    </x:row>
    <x:row r="29">
      <x:c r="A29" s="28" t="n">
        <x:v>58</x:v>
      </x:c>
      <x:c r="B29" s="6" t="str">
        <x:v>Hicaz</x:v>
      </x:c>
      <x:c r="C29" s="6" t="str">
        <x:v>Do</x:v>
      </x:c>
      <x:c r="D29" s="6" t="str"/>
      <x:c r="E29" s="23" t="n">
        <x:f>(A29-'Ayarlar'!$B$3)*'Ayarlar'!$B$4</x:f>
        <x:v>407.5471698113207</x:v>
      </x:c>
      <x:c r="F29" s="24" t="n">
        <x:f>'Ayarlar'!$B$5*POWER(2,E29/1200)</x:f>
        <x:v>556.7872462571414</x:v>
      </x:c>
      <x:c r="G29" s="24" t="n">
        <x:f>F29*POWER(2,'Ayarlar'!$B$6*'Ayarlar'!$B$4/1200)</x:f>
        <x:v>417.5739824866557</x:v>
      </x:c>
      <x:c r="H29" s="6" t="str">
        <x:v>Kontrol bekliyor</x:v>
      </x:c>
      <x:c r="I29" s="6"/>
      <x:c r="J29" s="15"/>
    </x:row>
    <x:row r="30">
      <x:c r="A30" s="28" t="n">
        <x:v>61</x:v>
      </x:c>
      <x:c r="B30" s="6" t="str">
        <x:v>Dik Hicaz</x:v>
      </x:c>
      <x:c r="C30" s="6" t="str">
        <x:v>Do</x:v>
      </x:c>
      <x:c r="D30" s="6" t="str"/>
      <x:c r="E30" s="23" t="n">
        <x:f>(A30-'Ayarlar'!$B$3)*'Ayarlar'!$B$4</x:f>
        <x:v>475.47169811320754</x:v>
      </x:c>
      <x:c r="F30" s="24" t="n">
        <x:f>'Ayarlar'!$B$5*POWER(2,E30/1200)</x:f>
        <x:v>579.0668620471317</x:v>
      </x:c>
      <x:c r="G30" s="24" t="n">
        <x:f>F30*POWER(2,'Ayarlar'!$B$6*'Ayarlar'!$B$4/1200)</x:f>
        <x:v>434.2830360007914</x:v>
      </x:c>
      <x:c r="H30" s="6" t="str">
        <x:v>Kontrol bekliyor</x:v>
      </x:c>
      <x:c r="I30" s="6"/>
      <x:c r="J30" s="15"/>
    </x:row>
    <x:row r="31">
      <x:c r="A31" s="28" t="n">
        <x:v>62</x:v>
      </x:c>
      <x:c r="B31" s="6" t="str">
        <x:v>Neva</x:v>
      </x:c>
      <x:c r="C31" s="6" t="str">
        <x:v>Re</x:v>
      </x:c>
      <x:c r="D31" s="6" t="str"/>
      <x:c r="E31" s="23" t="n">
        <x:f>(A31-'Ayarlar'!$B$3)*'Ayarlar'!$B$4</x:f>
        <x:v>498.1132075471698</x:v>
      </x:c>
      <x:c r="F31" s="24" t="n">
        <x:f>'Ayarlar'!$B$5*POWER(2,E31/1200)</x:f>
        <x:v>586.6897810401088</x:v>
      </x:c>
      <x:c r="G31" s="24" t="n">
        <x:f>F31*POWER(2,'Ayarlar'!$B$6*'Ayarlar'!$B$4/1200)</x:f>
        <x:v>440.00000000000006</x:v>
      </x:c>
      <x:c r="H31" s="6" t="str">
        <x:v>Kontrol bekliyor</x:v>
      </x:c>
      <x:c r="I31" s="6"/>
      <x:c r="J31" s="15"/>
    </x:row>
    <x:row r="32">
      <x:c r="A32" s="28" t="n">
        <x:v>66</x:v>
      </x:c>
      <x:c r="B32" s="6" t="str">
        <x:v>Nîm Hisar</x:v>
      </x:c>
      <x:c r="C32" s="6" t="str">
        <x:v>Re</x:v>
      </x:c>
      <x:c r="D32" s="6" t="str"/>
      <x:c r="E32" s="23" t="n">
        <x:f>(A32-'Ayarlar'!$B$3)*'Ayarlar'!$B$4</x:f>
        <x:v>588.6792452830189</x:v>
      </x:c>
      <x:c r="F32" s="24" t="n">
        <x:f>'Ayarlar'!$B$5*POWER(2,E32/1200)</x:f>
        <x:v>618.1982462614209</x:v>
      </x:c>
      <x:c r="G32" s="24" t="n">
        <x:f>F32*POWER(2,'Ayarlar'!$B$6*'Ayarlar'!$B$4/1200)</x:f>
        <x:v>463.6304178893301</x:v>
      </x:c>
      <x:c r="H32" s="6" t="str">
        <x:v>Kontrol bekliyor</x:v>
      </x:c>
      <x:c r="I32" s="6"/>
      <x:c r="J32" s="15"/>
    </x:row>
    <x:row r="33">
      <x:c r="A33" s="28" t="n">
        <x:v>67</x:v>
      </x:c>
      <x:c r="B33" s="6" t="str">
        <x:v>Hisar</x:v>
      </x:c>
      <x:c r="C33" s="6" t="str">
        <x:v>Re</x:v>
      </x:c>
      <x:c r="D33" s="6" t="str"/>
      <x:c r="E33" s="23" t="n">
        <x:f>(A33-'Ayarlar'!$B$3)*'Ayarlar'!$B$4</x:f>
        <x:v>611.3207547169811</x:v>
      </x:c>
      <x:c r="F33" s="24" t="n">
        <x:f>'Ayarlar'!$B$5*POWER(2,E33/1200)</x:f>
        <x:v>626.3362963929577</x:v>
      </x:c>
      <x:c r="G33" s="24" t="n">
        <x:f>F33*POWER(2,'Ayarlar'!$B$6*'Ayarlar'!$B$4/1200)</x:f>
        <x:v>469.7337150211263</x:v>
      </x:c>
      <x:c r="H33" s="6" t="str">
        <x:v>Kontrol bekliyor</x:v>
      </x:c>
      <x:c r="I33" s="6"/>
      <x:c r="J33" s="15"/>
    </x:row>
    <x:row r="34">
      <x:c r="A34" s="28" t="n">
        <x:v>70</x:v>
      </x:c>
      <x:c r="B34" s="6" t="str">
        <x:v>Dik Hisar</x:v>
      </x:c>
      <x:c r="C34" s="6" t="str">
        <x:v>Re</x:v>
      </x:c>
      <x:c r="D34" s="6" t="str"/>
      <x:c r="E34" s="23" t="n">
        <x:f>(A34-'Ayarlar'!$B$3)*'Ayarlar'!$B$4</x:f>
        <x:v>679.2452830188679</x:v>
      </x:c>
      <x:c r="F34" s="24" t="n">
        <x:f>'Ayarlar'!$B$5*POWER(2,E34/1200)</x:f>
        <x:v>651.3988892105309</x:v>
      </x:c>
      <x:c r="G34" s="24" t="n">
        <x:f>F34*POWER(2,'Ayarlar'!$B$6*'Ayarlar'!$B$4/1200)</x:f>
        <x:v>488.5299190732611</x:v>
      </x:c>
      <x:c r="H34" s="6" t="str">
        <x:v>Kontrol bekliyor</x:v>
      </x:c>
      <x:c r="I34" s="6"/>
      <x:c r="J34" s="15"/>
    </x:row>
    <x:row r="35">
      <x:c r="A35" s="28" t="n">
        <x:v>71</x:v>
      </x:c>
      <x:c r="B35" s="6" t="str">
        <x:v>Hüseynî</x:v>
      </x:c>
      <x:c r="C35" s="6" t="str">
        <x:v>Mi</x:v>
      </x:c>
      <x:c r="D35" s="6" t="str"/>
      <x:c r="E35" s="23" t="n">
        <x:f>(A35-'Ayarlar'!$B$3)*'Ayarlar'!$B$4</x:f>
        <x:v>701.8867924528302</x:v>
      </x:c>
      <x:c r="F35" s="24" t="n">
        <x:f>'Ayarlar'!$B$5*POWER(2,E35/1200)</x:f>
        <x:v>659.973997354369</x:v>
      </x:c>
      <x:c r="G35" s="24" t="n">
        <x:f>F35*POWER(2,'Ayarlar'!$B$6*'Ayarlar'!$B$4/1200)</x:f>
        <x:v>494.9609967998916</x:v>
      </x:c>
      <x:c r="H35" s="6" t="str">
        <x:v>Kontrol bekliyor</x:v>
      </x:c>
      <x:c r="I35" s="6"/>
      <x:c r="J35" s="15"/>
    </x:row>
    <x:row r="36">
      <x:c r="A36" s="28" t="n">
        <x:v>75</x:v>
      </x:c>
      <x:c r="B36" s="6" t="str">
        <x:v>Acem</x:v>
      </x:c>
      <x:c r="C36" s="6" t="str">
        <x:v>Fa</x:v>
      </x:c>
      <x:c r="D36" s="6" t="str"/>
      <x:c r="E36" s="23" t="n">
        <x:f>(A36-'Ayarlar'!$B$3)*'Ayarlar'!$B$4</x:f>
        <x:v>792.4528301886792</x:v>
      </x:c>
      <x:c r="F36" s="24" t="n">
        <x:f>'Ayarlar'!$B$5*POWER(2,E36/1200)</x:f>
        <x:v>695.4182277034039</x:v>
      </x:c>
      <x:c r="G36" s="24" t="n">
        <x:f>F36*POWER(2,'Ayarlar'!$B$6*'Ayarlar'!$B$4/1200)</x:f>
        <x:v>521.5431222392116</x:v>
      </x:c>
      <x:c r="H36" s="6" t="str">
        <x:v>Kontrol bekliyor</x:v>
      </x:c>
      <x:c r="I36" s="6"/>
      <x:c r="J36" s="15"/>
    </x:row>
    <x:row r="37">
      <x:c r="A37" s="28" t="n">
        <x:v>79</x:v>
      </x:c>
      <x:c r="B37" s="6" t="str">
        <x:v>Eviç</x:v>
      </x:c>
      <x:c r="C37" s="6" t="str">
        <x:v>Fa</x:v>
      </x:c>
      <x:c r="D37" s="6" t="str"/>
      <x:c r="E37" s="23" t="n">
        <x:f>(A37-'Ayarlar'!$B$3)*'Ayarlar'!$B$4</x:f>
        <x:v>883.0188679245282</x:v>
      </x:c>
      <x:c r="F37" s="24" t="n">
        <x:f>'Ayarlar'!$B$5*POWER(2,E37/1200)</x:f>
        <x:v>732.7660079954237</x:v>
      </x:c>
      <x:c r="G37" s="24" t="n">
        <x:f>F37*POWER(2,'Ayarlar'!$B$6*'Ayarlar'!$B$4/1200)</x:f>
        <x:v>549.5528538887992</x:v>
      </x:c>
      <x:c r="H37" s="6" t="str">
        <x:v>Kontrol bekliyor</x:v>
      </x:c>
      <x:c r="I37" s="6"/>
      <x:c r="J37" s="15"/>
    </x:row>
    <x:row r="38">
      <x:c r="A38" s="28" t="n">
        <x:v>80</x:v>
      </x:c>
      <x:c r="B38" s="6" t="str">
        <x:v>Mâhur</x:v>
      </x:c>
      <x:c r="C38" s="6" t="str">
        <x:v>Fa</x:v>
      </x:c>
      <x:c r="D38" s="6" t="str"/>
      <x:c r="E38" s="23" t="n">
        <x:f>(A38-'Ayarlar'!$B$3)*'Ayarlar'!$B$4</x:f>
        <x:v>905.6603773584905</x:v>
      </x:c>
      <x:c r="F38" s="24" t="n">
        <x:f>'Ayarlar'!$B$5*POWER(2,E38/1200)</x:f>
        <x:v>742.4122445284713</x:v>
      </x:c>
      <x:c r="G38" s="24" t="n">
        <x:f>F38*POWER(2,'Ayarlar'!$B$6*'Ayarlar'!$B$4/1200)</x:f>
        <x:v>556.7872462571414</x:v>
      </x:c>
      <x:c r="H38" s="6" t="str">
        <x:v>Kontrol bekliyor</x:v>
      </x:c>
      <x:c r="I38" s="6"/>
      <x:c r="J38" s="15"/>
    </x:row>
    <x:row r="39">
      <x:c r="A39" s="28" t="n">
        <x:v>83</x:v>
      </x:c>
      <x:c r="B39" s="6" t="str">
        <x:v>Dik Mâhur</x:v>
      </x:c>
      <x:c r="C39" s="6" t="str">
        <x:v>Fa</x:v>
      </x:c>
      <x:c r="D39" s="6" t="str"/>
      <x:c r="E39" s="23" t="n">
        <x:f>(A39-'Ayarlar'!$B$3)*'Ayarlar'!$B$4</x:f>
        <x:v>973.5849056603773</x:v>
      </x:c>
      <x:c r="F39" s="24" t="n">
        <x:f>'Ayarlar'!$B$5*POWER(2,E39/1200)</x:f>
        <x:v>772.1195693227604</x:v>
      </x:c>
      <x:c r="G39" s="24" t="n">
        <x:f>F39*POWER(2,'Ayarlar'!$B$6*'Ayarlar'!$B$4/1200)</x:f>
        <x:v>579.0668620471317</x:v>
      </x:c>
      <x:c r="H39" s="6" t="str">
        <x:v>Kontrol bekliyor</x:v>
      </x:c>
      <x:c r="I39" s="6"/>
      <x:c r="J39" s="15"/>
    </x:row>
    <x:row r="40">
      <x:c r="A40" s="28" t="n">
        <x:v>84</x:v>
      </x:c>
      <x:c r="B40" s="6" t="str">
        <x:v>Gerdâniye</x:v>
      </x:c>
      <x:c r="C40" s="6" t="str">
        <x:v>Sol</x:v>
      </x:c>
      <x:c r="D40" s="6" t="str"/>
      <x:c r="E40" s="23" t="n">
        <x:f>(A40-'Ayarlar'!$B$3)*'Ayarlar'!$B$4</x:f>
        <x:v>996.2264150943396</x:v>
      </x:c>
      <x:c r="F40" s="24" t="n">
        <x:f>'Ayarlar'!$B$5*POWER(2,E40/1200)</x:f>
        <x:v>782.2838617656607</x:v>
      </x:c>
      <x:c r="G40" s="24" t="n">
        <x:f>F40*POWER(2,'Ayarlar'!$B$6*'Ayarlar'!$B$4/1200)</x:f>
        <x:v>586.6897810401088</x:v>
      </x:c>
      <x:c r="H40" s="6" t="str">
        <x:v>Kontrol bekliyor</x:v>
      </x:c>
      <x:c r="I40" s="6"/>
      <x:c r="J40" s="15"/>
    </x:row>
    <x:row r="41">
      <x:c r="A41" s="28" t="n">
        <x:v>88</x:v>
      </x:c>
      <x:c r="B41" s="6" t="str">
        <x:v>Nîm Şehnaz</x:v>
      </x:c>
      <x:c r="C41" s="6" t="str">
        <x:v>Sol</x:v>
      </x:c>
      <x:c r="D41" s="6" t="str"/>
      <x:c r="E41" s="23" t="n">
        <x:f>(A41-'Ayarlar'!$B$3)*'Ayarlar'!$B$4</x:f>
        <x:v>1086.7924528301887</x:v>
      </x:c>
      <x:c r="F41" s="24" t="n">
        <x:f>'Ayarlar'!$B$5*POWER(2,E41/1200)</x:f>
        <x:v>824.2968039511188</x:v>
      </x:c>
      <x:c r="G41" s="24" t="n">
        <x:f>F41*POWER(2,'Ayarlar'!$B$6*'Ayarlar'!$B$4/1200)</x:f>
        <x:v>618.198246261421</x:v>
      </x:c>
      <x:c r="H41" s="6" t="str">
        <x:v>Kontrol bekliyor</x:v>
      </x:c>
      <x:c r="I41" s="6"/>
      <x:c r="J41" s="15"/>
    </x:row>
    <x:row r="42">
      <x:c r="A42" s="28" t="n">
        <x:v>89</x:v>
      </x:c>
      <x:c r="B42" s="6" t="str">
        <x:v>Şehnaz</x:v>
      </x:c>
      <x:c r="C42" s="6" t="str">
        <x:v>Sol</x:v>
      </x:c>
      <x:c r="D42" s="6" t="str"/>
      <x:c r="E42" s="23" t="n">
        <x:f>(A42-'Ayarlar'!$B$3)*'Ayarlar'!$B$4</x:f>
        <x:v>1109.433962264151</x:v>
      </x:c>
      <x:c r="F42" s="24" t="n">
        <x:f>'Ayarlar'!$B$5*POWER(2,E42/1200)</x:f>
        <x:v>835.1479649733114</x:v>
      </x:c>
      <x:c r="G42" s="24" t="n">
        <x:f>F42*POWER(2,'Ayarlar'!$B$6*'Ayarlar'!$B$4/1200)</x:f>
        <x:v>626.3362963929578</x:v>
      </x:c>
      <x:c r="H42" s="6" t="str">
        <x:v>Kontrol bekliyor</x:v>
      </x:c>
      <x:c r="I42" s="6"/>
      <x:c r="J42" s="15"/>
    </x:row>
    <x:row r="43">
      <x:c r="A43" s="28" t="n">
        <x:v>92</x:v>
      </x:c>
      <x:c r="B43" s="6" t="str">
        <x:v>Dik Şehnaz</x:v>
      </x:c>
      <x:c r="C43" s="6" t="str">
        <x:v>Sol</x:v>
      </x:c>
      <x:c r="D43" s="6" t="str"/>
      <x:c r="E43" s="23" t="n">
        <x:f>(A43-'Ayarlar'!$B$3)*'Ayarlar'!$B$4</x:f>
        <x:v>1177.3584905660377</x:v>
      </x:c>
      <x:c r="F43" s="24" t="n">
        <x:f>'Ayarlar'!$B$5*POWER(2,E43/1200)</x:f>
        <x:v>868.5660720015827</x:v>
      </x:c>
      <x:c r="G43" s="24" t="n">
        <x:f>F43*POWER(2,'Ayarlar'!$B$6*'Ayarlar'!$B$4/1200)</x:f>
        <x:v>651.3988892105309</x:v>
      </x:c>
      <x:c r="H43" s="6" t="str">
        <x:v>Kontrol bekliyor</x:v>
      </x:c>
      <x:c r="I43" s="6"/>
      <x:c r="J43" s="15"/>
    </x:row>
    <x:row r="44">
      <x:c r="A44" s="28" t="n">
        <x:v>93</x:v>
      </x:c>
      <x:c r="B44" s="6" t="str">
        <x:v>Muhayyer</x:v>
      </x:c>
      <x:c r="C44" s="6" t="str">
        <x:v>La</x:v>
      </x:c>
      <x:c r="D44" s="6" t="str"/>
      <x:c r="E44" s="23" t="n">
        <x:f>(A44-'Ayarlar'!$B$3)*'Ayarlar'!$B$4</x:f>
        <x:v>1200</x:v>
      </x:c>
      <x:c r="F44" s="24" t="n">
        <x:f>'Ayarlar'!$B$5*POWER(2,E44/1200)</x:f>
        <x:v>880</x:v>
      </x:c>
      <x:c r="G44" s="24" t="n">
        <x:f>F44*POWER(2,'Ayarlar'!$B$6*'Ayarlar'!$B$4/1200)</x:f>
        <x:v>659.973997354369</x:v>
      </x:c>
      <x:c r="H44" s="6" t="str">
        <x:v>Kontrol bekliyor</x:v>
      </x:c>
      <x:c r="I44" s="6"/>
      <x:c r="J44" s="15"/>
    </x:row>
    <x:row r="45">
      <x:c r="A45" s="28" t="n">
        <x:v>97</x:v>
      </x:c>
      <x:c r="B45" s="6" t="str">
        <x:v>Sünbüle</x:v>
      </x:c>
      <x:c r="C45" s="6" t="str">
        <x:v>La</x:v>
      </x:c>
      <x:c r="D45" s="6" t="str"/>
      <x:c r="E45" s="23" t="n">
        <x:f>(A45-'Ayarlar'!$B$3)*'Ayarlar'!$B$4</x:f>
        <x:v>1290.566037735849</x:v>
      </x:c>
      <x:c r="F45" s="24" t="n">
        <x:f>'Ayarlar'!$B$5*POWER(2,E45/1200)</x:f>
        <x:v>927.2608357786602</x:v>
      </x:c>
      <x:c r="G45" s="24" t="n">
        <x:f>F45*POWER(2,'Ayarlar'!$B$6*'Ayarlar'!$B$4/1200)</x:f>
        <x:v>695.4182277034039</x:v>
      </x:c>
      <x:c r="H45" s="6" t="str">
        <x:v>Kontrol bekliyor</x:v>
      </x:c>
      <x:c r="I45" s="6"/>
      <x:c r="J45" s="15"/>
    </x:row>
    <x:row r="46">
      <x:c r="A46" s="28" t="n">
        <x:v>98</x:v>
      </x:c>
      <x:c r="B46" s="6" t="str">
        <x:v>Dik Sünbüle</x:v>
      </x:c>
      <x:c r="C46" s="6" t="str">
        <x:v>La</x:v>
      </x:c>
      <x:c r="D46" s="6" t="str"/>
      <x:c r="E46" s="23" t="n">
        <x:f>(A46-'Ayarlar'!$B$3)*'Ayarlar'!$B$4</x:f>
        <x:v>1313.2075471698113</x:v>
      </x:c>
      <x:c r="F46" s="24" t="n">
        <x:f>'Ayarlar'!$B$5*POWER(2,E46/1200)</x:f>
        <x:v>939.4674300422524</x:v>
      </x:c>
      <x:c r="G46" s="24" t="n">
        <x:f>F46*POWER(2,'Ayarlar'!$B$6*'Ayarlar'!$B$4/1200)</x:f>
        <x:v>704.5728127150242</x:v>
      </x:c>
      <x:c r="H46" s="6" t="str">
        <x:v>Kontrol bekliyor</x:v>
      </x:c>
      <x:c r="I46" s="6"/>
      <x:c r="J46" s="15"/>
    </x:row>
    <x:row r="47">
      <x:c r="A47" s="28" t="n">
        <x:v>101</x:v>
      </x:c>
      <x:c r="B47" s="6" t="str">
        <x:v>Tiz Segâh</x:v>
      </x:c>
      <x:c r="C47" s="6" t="str">
        <x:v>Si</x:v>
      </x:c>
      <x:c r="D47" s="6" t="str"/>
      <x:c r="E47" s="23" t="n">
        <x:f>(A47-'Ayarlar'!$B$3)*'Ayarlar'!$B$4</x:f>
        <x:v>1381.132075471698</x:v>
      </x:c>
      <x:c r="F47" s="24" t="n">
        <x:f>'Ayarlar'!$B$5*POWER(2,E47/1200)</x:f>
        <x:v>977.0598381465222</x:v>
      </x:c>
      <x:c r="G47" s="24" t="n">
        <x:f>F47*POWER(2,'Ayarlar'!$B$6*'Ayarlar'!$B$4/1200)</x:f>
        <x:v>732.7660079954238</x:v>
      </x:c>
      <x:c r="H47" s="6" t="str">
        <x:v>Kontrol bekliyor</x:v>
      </x:c>
      <x:c r="I47" s="6"/>
      <x:c r="J47" s="15"/>
    </x:row>
    <x:row r="48">
      <x:c r="A48" s="28" t="n">
        <x:v>102</x:v>
      </x:c>
      <x:c r="B48" s="6" t="str">
        <x:v>Tiz Bûselik</x:v>
      </x:c>
      <x:c r="C48" s="6" t="str">
        <x:v>Si</x:v>
      </x:c>
      <x:c r="D48" s="6" t="str"/>
      <x:c r="E48" s="23" t="n">
        <x:f>(A48-'Ayarlar'!$B$3)*'Ayarlar'!$B$4</x:f>
        <x:v>1403.7735849056603</x:v>
      </x:c>
      <x:c r="F48" s="24" t="n">
        <x:f>'Ayarlar'!$B$5*POWER(2,E48/1200)</x:f>
        <x:v>989.9219935997831</x:v>
      </x:c>
      <x:c r="G48" s="24" t="n">
        <x:f>F48*POWER(2,'Ayarlar'!$B$6*'Ayarlar'!$B$4/1200)</x:f>
        <x:v>742.4122445284715</x:v>
      </x:c>
      <x:c r="H48" s="6" t="str">
        <x:v>Kontrol bekliyor</x:v>
      </x:c>
      <x:c r="I48" s="6"/>
      <x:c r="J48" s="15"/>
    </x:row>
    <x:row r="49">
      <x:c r="A49" s="28" t="n">
        <x:v>105</x:v>
      </x:c>
      <x:c r="B49" s="6" t="str">
        <x:v>Tiz Dik Bûselik</x:v>
      </x:c>
      <x:c r="C49" s="6" t="str">
        <x:v>Si</x:v>
      </x:c>
      <x:c r="D49" s="6" t="str"/>
      <x:c r="E49" s="23" t="n">
        <x:f>(A49-'Ayarlar'!$B$3)*'Ayarlar'!$B$4</x:f>
        <x:v>1471.698113207547</x:v>
      </x:c>
      <x:c r="F49" s="24" t="n">
        <x:f>'Ayarlar'!$B$5*POWER(2,E49/1200)</x:f>
        <x:v>1029.5333205971667</x:v>
      </x:c>
      <x:c r="G49" s="24" t="n">
        <x:f>F49*POWER(2,'Ayarlar'!$B$6*'Ayarlar'!$B$4/1200)</x:f>
        <x:v>772.1195693227604</x:v>
      </x:c>
      <x:c r="H49" s="6" t="str">
        <x:v>Kontrol bekliyor</x:v>
      </x:c>
      <x:c r="I49" s="6"/>
      <x:c r="J49" s="15"/>
    </x:row>
    <x:row r="50">
      <x:c r="A50" s="29" t="n">
        <x:v>106</x:v>
      </x:c>
      <x:c r="B50" s="30" t="str">
        <x:v>Tiz Çârgâh</x:v>
      </x:c>
      <x:c r="C50" s="30" t="str">
        <x:v>Do</x:v>
      </x:c>
      <x:c r="D50" s="30" t="str"/>
      <x:c r="E50" s="31" t="n">
        <x:f>(A50-'Ayarlar'!$B$3)*'Ayarlar'!$B$4</x:f>
        <x:v>1494.3396226415093</x:v>
      </x:c>
      <x:c r="F50" s="32" t="n">
        <x:f>'Ayarlar'!$B$5*POWER(2,E50/1200)</x:f>
        <x:v>1043.0862444784232</x:v>
      </x:c>
      <x:c r="G50" s="32" t="n">
        <x:f>F50*POWER(2,'Ayarlar'!$B$6*'Ayarlar'!$B$4/1200)</x:f>
        <x:v>782.2838617656607</x:v>
      </x:c>
      <x:c r="H50" s="30" t="str">
        <x:v>Kontrol bekliyor</x:v>
      </x:c>
      <x:c r="I50" s="30"/>
      <x:c r="J50" s="20"/>
    </x:row>
  </x:sheetData>
  <x:mergeCells>
    <x:mergeCell ref="A1:J1"/>
  </x:mergeCells>
  <x:dataValidations count="1">
    <x:dataValidation type="list" sqref="H3:H50">
      <x:formula1>"Kontrol bekliyor,Doğru,Düzeltilecek"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6" hidden="0" customWidth="1"/>
  </x:cols>
  <x:sheetData>
    <x:row r="1">
      <x:c r="A1" s="3" t="str">
        <x:v>Bu tablo nasıl kullanılacak?</x:v>
      </x:c>
      <x:c r="B1" s="3"/>
      <x:c r="C1" s="3"/>
      <x:c r="D1" s="3"/>
      <x:c r="E1" s="3"/>
    </x:row>
    <x:row r="3">
      <x:c r="A3" s="35" t="str">
        <x:v>1</x:v>
      </x:c>
      <x:c r="B3" s="36" t="str">
        <x:v>‘Perde Eşleme’ sekmesindeki sarı hücreler düzenlenebilir.</x:v>
      </x:c>
      <x:c r="C3" t="str"/>
      <x:c r="D3" t="str"/>
      <x:c r="E3" t="str"/>
    </x:row>
    <x:row r="4">
      <x:c r="A4" s="37" t="str">
        <x:v>2</x:v>
      </x:c>
      <x:c r="B4" s="38" t="str">
        <x:v>Bir ismin veya oktavın yanlış olduğunu düşünürsen ‘Düzeltme notu’na yaz ve ‘Onay’ alanını ‘Düzeltilecek’ seç.</x:v>
      </x:c>
      <x:c r="C4" t="str"/>
      <x:c r="D4" t="str"/>
      <x:c r="E4" t="str"/>
    </x:row>
    <x:row r="5">
      <x:c r="A5" s="37" t="str">
        <x:v>3</x:v>
      </x:c>
      <x:c r="B5" s="38" t="str">
        <x:v>Yeşil alanlar formülle hesaplanır: sent, duyulan frekans ve Sol klarnet yazılı frekansı.</x:v>
      </x:c>
      <x:c r="C5" t="str"/>
      <x:c r="D5" t="str"/>
      <x:c r="E5" t="str"/>
    </x:row>
    <x:row r="6">
      <x:c r="A6" s="37" t="str">
        <x:v>4</x:v>
      </x:c>
      <x:c r="B6" s="38" t="str">
        <x:v>Bu dosyayı Numbers ile doğrudan açabilir veya Google Drive’a yükleyip Google Sheets ile düzenleyebilirsin.</x:v>
      </x:c>
      <x:c r="C6" t="str"/>
      <x:c r="D6" t="str"/>
      <x:c r="E6" t="str"/>
    </x:row>
    <x:row r="7">
      <x:c r="A7" s="37" t="str">
        <x:v>5</x:v>
      </x:c>
      <x:c r="B7" s="38" t="str">
        <x:v>Düzeltmeleri yaptıktan sonra dosyayı kaydet; sonraki adımda uygulamanın eşlemesini bu dosyadan okumaya bağlayacağız.</x:v>
      </x:c>
      <x:c r="C7" t="str"/>
      <x:c r="D7" t="str"/>
      <x:c r="E7" t="str"/>
    </x:row>
    <x:row r="8">
      <x:c r="A8" s="39" t="str">
        <x:v>6</x:v>
      </x:c>
      <x:c r="B8" s="40" t="str">
        <x:v>Başlangıç değerleri mevcut KlariVision perde tablosundan alınmıştır; kesin müzikolojik kaynak yerine çalışma taslağıdır.</x:v>
      </x:c>
      <x:c r="C8" t="str"/>
      <x:c r="D8" t="str"/>
      <x:c r="E8" t="str"/>
    </x:row>
  </x:sheetData>
  <x:mergeCells>
    <x:mergeCell ref="A1:E1"/>
  </x:mergeCells>
  <x:pageMargins left="0.7" right="0.7" top="0.75" bottom="0.75" header="0.3" footer="0.3"/>
</x:worksheet>
</file>